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yunzhuorui/GTIIT/2026-Spring/Advance_lab/"/>
    </mc:Choice>
  </mc:AlternateContent>
  <xr:revisionPtr revIDLastSave="0" documentId="13_ncr:1_{98CB46D5-926F-F249-AE94-65A37D8A178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est 2603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2" i="2"/>
  <c r="G2" i="2"/>
  <c r="H2" i="2" s="1"/>
  <c r="G49" i="2"/>
  <c r="H49" i="2" s="1"/>
  <c r="I49" i="2"/>
  <c r="G50" i="2"/>
  <c r="H50" i="2" s="1"/>
  <c r="I50" i="2"/>
  <c r="G51" i="2"/>
  <c r="H51" i="2" s="1"/>
  <c r="I51" i="2"/>
  <c r="G52" i="2"/>
  <c r="H52" i="2" s="1"/>
  <c r="I52" i="2"/>
  <c r="G53" i="2"/>
  <c r="H53" i="2" s="1"/>
  <c r="I53" i="2"/>
  <c r="G54" i="2"/>
  <c r="H54" i="2" s="1"/>
  <c r="I54" i="2"/>
  <c r="I48" i="2"/>
  <c r="G48" i="2"/>
  <c r="H48" i="2" s="1"/>
  <c r="I47" i="2"/>
  <c r="G47" i="2"/>
  <c r="H47" i="2" s="1"/>
  <c r="I46" i="2"/>
  <c r="G46" i="2"/>
  <c r="H46" i="2" s="1"/>
  <c r="I45" i="2"/>
  <c r="G45" i="2"/>
  <c r="H45" i="2" s="1"/>
  <c r="I44" i="2"/>
  <c r="G44" i="2"/>
  <c r="H44" i="2" s="1"/>
  <c r="I43" i="2"/>
  <c r="G43" i="2"/>
  <c r="H43" i="2" s="1"/>
  <c r="I42" i="2"/>
  <c r="G42" i="2"/>
  <c r="H42" i="2" s="1"/>
  <c r="I41" i="2"/>
  <c r="G41" i="2"/>
  <c r="H41" i="2" s="1"/>
  <c r="I40" i="2"/>
  <c r="G40" i="2"/>
  <c r="H40" i="2" s="1"/>
  <c r="I39" i="2"/>
  <c r="G39" i="2"/>
  <c r="H39" i="2" s="1"/>
  <c r="I38" i="2"/>
  <c r="G38" i="2"/>
  <c r="H38" i="2" s="1"/>
  <c r="I37" i="2"/>
  <c r="G37" i="2"/>
  <c r="H37" i="2" s="1"/>
  <c r="I36" i="2"/>
  <c r="G36" i="2"/>
  <c r="H36" i="2" s="1"/>
  <c r="I35" i="2"/>
  <c r="G35" i="2"/>
  <c r="H35" i="2" s="1"/>
  <c r="I34" i="2"/>
  <c r="G34" i="2"/>
  <c r="H34" i="2" s="1"/>
  <c r="I33" i="2"/>
  <c r="G33" i="2"/>
  <c r="H33" i="2" s="1"/>
  <c r="I32" i="2"/>
  <c r="G32" i="2"/>
  <c r="H32" i="2" s="1"/>
  <c r="I31" i="2"/>
  <c r="G31" i="2"/>
  <c r="H31" i="2" s="1"/>
  <c r="I30" i="2"/>
  <c r="G30" i="2"/>
  <c r="H30" i="2" s="1"/>
  <c r="I29" i="2"/>
  <c r="G29" i="2"/>
  <c r="H29" i="2" s="1"/>
  <c r="I28" i="2"/>
  <c r="G28" i="2"/>
  <c r="H28" i="2" s="1"/>
  <c r="I27" i="2"/>
  <c r="G27" i="2"/>
  <c r="H27" i="2" s="1"/>
  <c r="I26" i="2"/>
  <c r="G26" i="2"/>
  <c r="H26" i="2" s="1"/>
  <c r="I25" i="2"/>
  <c r="G25" i="2"/>
  <c r="H25" i="2" s="1"/>
  <c r="I24" i="2"/>
  <c r="G24" i="2"/>
  <c r="H24" i="2" s="1"/>
  <c r="I23" i="2"/>
  <c r="G23" i="2"/>
  <c r="H23" i="2" s="1"/>
  <c r="I22" i="2"/>
  <c r="G22" i="2"/>
  <c r="H22" i="2" s="1"/>
  <c r="I21" i="2"/>
  <c r="G21" i="2"/>
  <c r="H21" i="2" s="1"/>
  <c r="I20" i="2"/>
  <c r="G20" i="2"/>
  <c r="H20" i="2" s="1"/>
  <c r="I19" i="2"/>
  <c r="G19" i="2"/>
  <c r="H19" i="2" s="1"/>
  <c r="I18" i="2"/>
  <c r="G18" i="2"/>
  <c r="H18" i="2" s="1"/>
  <c r="I17" i="2"/>
  <c r="G17" i="2"/>
  <c r="H17" i="2" s="1"/>
  <c r="I16" i="2"/>
  <c r="G16" i="2"/>
  <c r="H16" i="2" s="1"/>
  <c r="I15" i="2"/>
  <c r="G15" i="2"/>
  <c r="H15" i="2" s="1"/>
  <c r="I14" i="2"/>
  <c r="G14" i="2"/>
  <c r="H14" i="2" s="1"/>
  <c r="I13" i="2"/>
  <c r="G13" i="2"/>
  <c r="H13" i="2" s="1"/>
  <c r="I12" i="2"/>
  <c r="G12" i="2"/>
  <c r="H12" i="2" s="1"/>
  <c r="I11" i="2"/>
  <c r="G11" i="2"/>
  <c r="H11" i="2" s="1"/>
  <c r="I10" i="2"/>
  <c r="G10" i="2"/>
  <c r="H10" i="2" s="1"/>
  <c r="I9" i="2"/>
  <c r="G9" i="2"/>
  <c r="H9" i="2" s="1"/>
  <c r="I8" i="2"/>
  <c r="G8" i="2"/>
  <c r="H8" i="2" s="1"/>
  <c r="I7" i="2"/>
  <c r="G7" i="2"/>
  <c r="H7" i="2" s="1"/>
  <c r="I6" i="2"/>
  <c r="G6" i="2"/>
  <c r="H6" i="2" s="1"/>
  <c r="I5" i="2"/>
  <c r="G5" i="2"/>
  <c r="H5" i="2" s="1"/>
  <c r="I4" i="2"/>
  <c r="G4" i="2"/>
  <c r="H4" i="2" s="1"/>
  <c r="I3" i="2"/>
  <c r="G3" i="2"/>
</calcChain>
</file>

<file path=xl/sharedStrings.xml><?xml version="1.0" encoding="utf-8"?>
<sst xmlns="http://schemas.openxmlformats.org/spreadsheetml/2006/main" count="10" uniqueCount="10">
  <si>
    <t>Wire length (m)</t>
  </si>
  <si>
    <t>Wire diameter (m)</t>
  </si>
  <si>
    <t>I (Amps)</t>
  </si>
  <si>
    <t>Power (W)</t>
  </si>
  <si>
    <t>Resistivity (Ohm m)</t>
  </si>
  <si>
    <t>Twire (C)</t>
  </si>
  <si>
    <t>Twater (C)</t>
  </si>
  <si>
    <t>rho_0 (Ohm m)</t>
  </si>
  <si>
    <t>alpha (Ohm m/C)</t>
  </si>
  <si>
    <t>V (Volts)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</si>
</sst>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Boiling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'Test 26032025'!$H$2:$H$39</c:f>
              <c:numCache>
                <c:formatCode>0.0</c:formatCode>
                <c:ptCount val="38"/>
                <c:pt idx="0">
                  <c:v>153.21403133903141</c:v>
                </c:pt>
                <c:pt idx="1">
                  <c:v>152.38983032918674</c:v>
                </c:pt>
                <c:pt idx="2">
                  <c:v>148.31730769230776</c:v>
                </c:pt>
                <c:pt idx="3">
                  <c:v>151.36415796138022</c:v>
                </c:pt>
                <c:pt idx="4">
                  <c:v>151.02339181286555</c:v>
                </c:pt>
                <c:pt idx="5">
                  <c:v>150.75118216760234</c:v>
                </c:pt>
                <c:pt idx="6">
                  <c:v>155.02369007803802</c:v>
                </c:pt>
                <c:pt idx="7">
                  <c:v>158.65210131855861</c:v>
                </c:pt>
                <c:pt idx="8">
                  <c:v>165.77920899854865</c:v>
                </c:pt>
                <c:pt idx="9">
                  <c:v>172.08273979107312</c:v>
                </c:pt>
                <c:pt idx="10">
                  <c:v>175.85369506133114</c:v>
                </c:pt>
                <c:pt idx="11">
                  <c:v>180.96213200379873</c:v>
                </c:pt>
                <c:pt idx="12">
                  <c:v>185.56936381228843</c:v>
                </c:pt>
                <c:pt idx="13">
                  <c:v>193.02652359717587</c:v>
                </c:pt>
                <c:pt idx="14">
                  <c:v>206.45508667814323</c:v>
                </c:pt>
                <c:pt idx="15">
                  <c:v>209.4601813351814</c:v>
                </c:pt>
                <c:pt idx="16">
                  <c:v>213.75534188034192</c:v>
                </c:pt>
                <c:pt idx="17">
                  <c:v>219.23537430002958</c:v>
                </c:pt>
                <c:pt idx="18">
                  <c:v>221.41418237050777</c:v>
                </c:pt>
                <c:pt idx="19">
                  <c:v>232.03828190000758</c:v>
                </c:pt>
                <c:pt idx="20">
                  <c:v>240.77648156358532</c:v>
                </c:pt>
                <c:pt idx="21">
                  <c:v>244.82926872940843</c:v>
                </c:pt>
                <c:pt idx="22">
                  <c:v>237.78317633589526</c:v>
                </c:pt>
                <c:pt idx="23">
                  <c:v>227.69577522866999</c:v>
                </c:pt>
                <c:pt idx="24">
                  <c:v>202.09141966596096</c:v>
                </c:pt>
                <c:pt idx="25">
                  <c:v>210.52669975497301</c:v>
                </c:pt>
                <c:pt idx="26">
                  <c:v>213.40606508875746</c:v>
                </c:pt>
                <c:pt idx="27">
                  <c:v>207.07799145299157</c:v>
                </c:pt>
                <c:pt idx="28">
                  <c:v>202.22075751309623</c:v>
                </c:pt>
                <c:pt idx="29">
                  <c:v>202.2483462123873</c:v>
                </c:pt>
                <c:pt idx="30">
                  <c:v>202.2743614117189</c:v>
                </c:pt>
                <c:pt idx="31">
                  <c:v>206.63947888761325</c:v>
                </c:pt>
                <c:pt idx="32">
                  <c:v>215.22411212221752</c:v>
                </c:pt>
                <c:pt idx="33">
                  <c:v>214.04065775138488</c:v>
                </c:pt>
                <c:pt idx="34">
                  <c:v>212.92329507316421</c:v>
                </c:pt>
                <c:pt idx="35">
                  <c:v>215.11364051428166</c:v>
                </c:pt>
                <c:pt idx="36">
                  <c:v>216.41288268587599</c:v>
                </c:pt>
                <c:pt idx="37">
                  <c:v>218.44481224604186</c:v>
                </c:pt>
              </c:numCache>
            </c:numRef>
          </c:xVal>
          <c:yVal>
            <c:numRef>
              <c:f>'Test 26032025'!$I$2:$I$39</c:f>
              <c:numCache>
                <c:formatCode>General</c:formatCode>
                <c:ptCount val="38"/>
                <c:pt idx="0">
                  <c:v>0.84</c:v>
                </c:pt>
                <c:pt idx="1">
                  <c:v>1.212</c:v>
                </c:pt>
                <c:pt idx="2">
                  <c:v>1.6659999999999999</c:v>
                </c:pt>
                <c:pt idx="3">
                  <c:v>2.16</c:v>
                </c:pt>
                <c:pt idx="4">
                  <c:v>2.7360000000000002</c:v>
                </c:pt>
                <c:pt idx="5">
                  <c:v>3.38</c:v>
                </c:pt>
                <c:pt idx="6">
                  <c:v>4.0480000000000009</c:v>
                </c:pt>
                <c:pt idx="7">
                  <c:v>4.7759999999999998</c:v>
                </c:pt>
                <c:pt idx="8">
                  <c:v>5.5120000000000005</c:v>
                </c:pt>
                <c:pt idx="9">
                  <c:v>6.3</c:v>
                </c:pt>
                <c:pt idx="10">
                  <c:v>7.17</c:v>
                </c:pt>
                <c:pt idx="11">
                  <c:v>8.0640000000000001</c:v>
                </c:pt>
                <c:pt idx="12">
                  <c:v>9.01</c:v>
                </c:pt>
                <c:pt idx="13">
                  <c:v>9.9359999999999999</c:v>
                </c:pt>
                <c:pt idx="14">
                  <c:v>10.754</c:v>
                </c:pt>
                <c:pt idx="15">
                  <c:v>11.84</c:v>
                </c:pt>
                <c:pt idx="16">
                  <c:v>12.936000000000002</c:v>
                </c:pt>
                <c:pt idx="17">
                  <c:v>14.036000000000001</c:v>
                </c:pt>
                <c:pt idx="18">
                  <c:v>15.271999999999998</c:v>
                </c:pt>
                <c:pt idx="19">
                  <c:v>16.271999999999998</c:v>
                </c:pt>
                <c:pt idx="20">
                  <c:v>17.350000000000001</c:v>
                </c:pt>
                <c:pt idx="21">
                  <c:v>18.616</c:v>
                </c:pt>
                <c:pt idx="22">
                  <c:v>20.358000000000001</c:v>
                </c:pt>
                <c:pt idx="23">
                  <c:v>22.344000000000001</c:v>
                </c:pt>
                <c:pt idx="24">
                  <c:v>25.288</c:v>
                </c:pt>
                <c:pt idx="25">
                  <c:v>26.58</c:v>
                </c:pt>
                <c:pt idx="26">
                  <c:v>28.21</c:v>
                </c:pt>
                <c:pt idx="27">
                  <c:v>30.463999999999999</c:v>
                </c:pt>
                <c:pt idx="28">
                  <c:v>32.735999999999997</c:v>
                </c:pt>
                <c:pt idx="29">
                  <c:v>34.748000000000005</c:v>
                </c:pt>
                <c:pt idx="30">
                  <c:v>36.82</c:v>
                </c:pt>
                <c:pt idx="31">
                  <c:v>38.592000000000006</c:v>
                </c:pt>
                <c:pt idx="32">
                  <c:v>40.034000000000006</c:v>
                </c:pt>
                <c:pt idx="33">
                  <c:v>42.332000000000001</c:v>
                </c:pt>
                <c:pt idx="34">
                  <c:v>44.694000000000003</c:v>
                </c:pt>
                <c:pt idx="35">
                  <c:v>46.8</c:v>
                </c:pt>
                <c:pt idx="36">
                  <c:v>49.036000000000001</c:v>
                </c:pt>
                <c:pt idx="37">
                  <c:v>51.24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1-46C4-987A-5BB039E9B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014256"/>
        <c:axId val="151836496"/>
      </c:scatterChart>
      <c:valAx>
        <c:axId val="1959014256"/>
        <c:scaling>
          <c:orientation val="minMax"/>
          <c:min val="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Wire</a:t>
                </a:r>
                <a:r>
                  <a:rPr lang="en-US" sz="1200" b="1" baseline="0"/>
                  <a:t> Temperature (C)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51836496"/>
        <c:crosses val="autoZero"/>
        <c:crossBetween val="midCat"/>
      </c:valAx>
      <c:valAx>
        <c:axId val="1518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Power</a:t>
                </a:r>
                <a:r>
                  <a:rPr lang="en-US" sz="1200" b="1" baseline="0"/>
                  <a:t> (W)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9590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0</xdr:row>
      <xdr:rowOff>133350</xdr:rowOff>
    </xdr:from>
    <xdr:to>
      <xdr:col>17</xdr:col>
      <xdr:colOff>292101</xdr:colOff>
      <xdr:row>23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06AEB-2EE6-4EC6-AB20-A1C5BDEA0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2147AD-DF1E-E94A-9D07-F19915BD97B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e743112-6cd3-43bf-a66c-2c25b6e658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C228-6352-461D-99AC-277126C8B7F0}">
  <dimension ref="A1:I54"/>
  <sheetViews>
    <sheetView tabSelected="1" zoomScaleNormal="100" workbookViewId="0">
      <selection activeCell="E40" sqref="E40"/>
    </sheetView>
  </sheetViews>
  <sheetFormatPr baseColWidth="10" defaultColWidth="8.83203125" defaultRowHeight="15" x14ac:dyDescent="0.2"/>
  <cols>
    <col min="1" max="1" width="18.33203125" customWidth="1"/>
    <col min="3" max="3" width="5.33203125" customWidth="1"/>
    <col min="4" max="4" width="8.1640625" customWidth="1"/>
    <col min="5" max="5" width="8" customWidth="1"/>
    <col min="6" max="6" width="9.6640625" customWidth="1"/>
    <col min="7" max="7" width="17" customWidth="1"/>
    <col min="8" max="8" width="8.6640625" customWidth="1"/>
    <col min="9" max="9" width="9.1640625" customWidth="1"/>
    <col min="13" max="13" width="11.83203125" bestFit="1" customWidth="1"/>
  </cols>
  <sheetData>
    <row r="1" spans="1:9" ht="14.5" customHeight="1" x14ac:dyDescent="0.2">
      <c r="D1" s="4" t="s">
        <v>9</v>
      </c>
      <c r="E1" s="4" t="s">
        <v>2</v>
      </c>
      <c r="F1" s="4" t="s">
        <v>6</v>
      </c>
      <c r="G1" s="3" t="s">
        <v>4</v>
      </c>
      <c r="H1" s="3" t="s">
        <v>5</v>
      </c>
      <c r="I1" s="3" t="s">
        <v>3</v>
      </c>
    </row>
    <row r="2" spans="1:9" ht="14.5" customHeight="1" x14ac:dyDescent="0.2">
      <c r="D2" s="5">
        <v>1</v>
      </c>
      <c r="E2" s="5">
        <v>0.84</v>
      </c>
      <c r="F2" s="5">
        <v>24.8</v>
      </c>
      <c r="G2" s="1">
        <f t="shared" ref="G2:G7" si="0">0.7854*$B$4^2/$B$3*D2/E2</f>
        <v>1.5583333333333336E-7</v>
      </c>
      <c r="H2" s="2">
        <f>(G2-$B$6)/$B$7</f>
        <v>153.21403133903141</v>
      </c>
      <c r="I2">
        <f t="shared" ref="I2:I7" si="1">D2*E2</f>
        <v>0.84</v>
      </c>
    </row>
    <row r="3" spans="1:9" x14ac:dyDescent="0.2">
      <c r="A3" t="s">
        <v>0</v>
      </c>
      <c r="B3" s="6">
        <v>0.06</v>
      </c>
      <c r="D3" s="5">
        <v>1.2</v>
      </c>
      <c r="E3" s="5">
        <v>1.01</v>
      </c>
      <c r="F3" s="5">
        <v>24.8</v>
      </c>
      <c r="G3" s="1">
        <f t="shared" si="0"/>
        <v>1.5552475247524751E-7</v>
      </c>
      <c r="H3" s="2">
        <f>(G3-$B$6)/$B$7</f>
        <v>152.38983032918674</v>
      </c>
      <c r="I3">
        <f t="shared" si="1"/>
        <v>1.212</v>
      </c>
    </row>
    <row r="4" spans="1:9" x14ac:dyDescent="0.2">
      <c r="A4" t="s">
        <v>1</v>
      </c>
      <c r="B4" s="1">
        <v>1E-4</v>
      </c>
      <c r="D4" s="5">
        <v>1.4</v>
      </c>
      <c r="E4" s="5">
        <v>1.19</v>
      </c>
      <c r="F4" s="5">
        <v>24.8</v>
      </c>
      <c r="G4" s="1">
        <f t="shared" si="0"/>
        <v>1.5400000000000003E-7</v>
      </c>
      <c r="H4" s="2">
        <f t="shared" ref="H4:H48" si="2">(G4-$B$6)/$B$7</f>
        <v>148.31730769230776</v>
      </c>
      <c r="I4">
        <f t="shared" si="1"/>
        <v>1.6659999999999999</v>
      </c>
    </row>
    <row r="5" spans="1:9" x14ac:dyDescent="0.2">
      <c r="D5" s="5">
        <v>1.6</v>
      </c>
      <c r="E5" s="5">
        <v>1.35</v>
      </c>
      <c r="F5" s="5">
        <v>24.8</v>
      </c>
      <c r="G5" s="1">
        <f t="shared" si="0"/>
        <v>1.5514074074074075E-7</v>
      </c>
      <c r="H5" s="2">
        <f t="shared" si="2"/>
        <v>151.36415796138022</v>
      </c>
      <c r="I5">
        <f t="shared" si="1"/>
        <v>2.16</v>
      </c>
    </row>
    <row r="6" spans="1:9" x14ac:dyDescent="0.2">
      <c r="A6" t="s">
        <v>7</v>
      </c>
      <c r="B6" s="1">
        <v>9.8469999999999994E-8</v>
      </c>
      <c r="D6" s="5">
        <v>1.8</v>
      </c>
      <c r="E6" s="5">
        <v>1.52</v>
      </c>
      <c r="F6" s="5">
        <v>24.8</v>
      </c>
      <c r="G6" s="1">
        <f t="shared" si="0"/>
        <v>1.5501315789473686E-7</v>
      </c>
      <c r="H6" s="2">
        <f t="shared" si="2"/>
        <v>151.02339181286555</v>
      </c>
      <c r="I6">
        <f t="shared" si="1"/>
        <v>2.7360000000000002</v>
      </c>
    </row>
    <row r="7" spans="1:9" x14ac:dyDescent="0.2">
      <c r="A7" t="s">
        <v>8</v>
      </c>
      <c r="B7" s="1">
        <v>3.7440000000000002E-10</v>
      </c>
      <c r="D7" s="5">
        <v>2</v>
      </c>
      <c r="E7" s="5">
        <v>1.69</v>
      </c>
      <c r="F7" s="5">
        <v>24.8</v>
      </c>
      <c r="G7" s="1">
        <f t="shared" si="0"/>
        <v>1.5491124260355032E-7</v>
      </c>
      <c r="H7" s="2">
        <f t="shared" si="2"/>
        <v>150.75118216760234</v>
      </c>
      <c r="I7">
        <f t="shared" si="1"/>
        <v>3.38</v>
      </c>
    </row>
    <row r="8" spans="1:9" x14ac:dyDescent="0.2">
      <c r="D8" s="5">
        <v>2.2000000000000002</v>
      </c>
      <c r="E8" s="5">
        <v>1.84</v>
      </c>
      <c r="F8" s="5">
        <v>24.8</v>
      </c>
      <c r="G8" s="1">
        <f t="shared" ref="G8:G48" si="3">0.7854*$B$4^2/$B$3*D8/E8</f>
        <v>1.5651086956521743E-7</v>
      </c>
      <c r="H8" s="2">
        <f t="shared" si="2"/>
        <v>155.02369007803802</v>
      </c>
      <c r="I8">
        <f t="shared" ref="I8:I48" si="4">D8*E8</f>
        <v>4.0480000000000009</v>
      </c>
    </row>
    <row r="9" spans="1:9" x14ac:dyDescent="0.2">
      <c r="D9" s="5">
        <v>2.4</v>
      </c>
      <c r="E9" s="5">
        <v>1.99</v>
      </c>
      <c r="F9" s="5">
        <v>24.8</v>
      </c>
      <c r="G9" s="1">
        <f t="shared" si="3"/>
        <v>1.5786934673366834E-7</v>
      </c>
      <c r="H9" s="2">
        <f t="shared" si="2"/>
        <v>158.65210131855861</v>
      </c>
      <c r="I9">
        <f t="shared" si="4"/>
        <v>4.7759999999999998</v>
      </c>
    </row>
    <row r="10" spans="1:9" x14ac:dyDescent="0.2">
      <c r="D10" s="5">
        <v>2.6</v>
      </c>
      <c r="E10" s="5">
        <v>2.12</v>
      </c>
      <c r="F10" s="5">
        <v>24.9</v>
      </c>
      <c r="G10" s="1">
        <f t="shared" si="3"/>
        <v>1.6053773584905661E-7</v>
      </c>
      <c r="H10" s="2">
        <f t="shared" si="2"/>
        <v>165.77920899854865</v>
      </c>
      <c r="I10">
        <f t="shared" si="4"/>
        <v>5.5120000000000005</v>
      </c>
    </row>
    <row r="11" spans="1:9" x14ac:dyDescent="0.2">
      <c r="D11" s="5">
        <v>2.8</v>
      </c>
      <c r="E11" s="5">
        <v>2.25</v>
      </c>
      <c r="F11" s="5">
        <v>24.9</v>
      </c>
      <c r="G11" s="1">
        <f t="shared" si="3"/>
        <v>1.6289777777777778E-7</v>
      </c>
      <c r="H11" s="2">
        <f t="shared" si="2"/>
        <v>172.08273979107312</v>
      </c>
      <c r="I11">
        <f t="shared" si="4"/>
        <v>6.3</v>
      </c>
    </row>
    <row r="12" spans="1:9" x14ac:dyDescent="0.2">
      <c r="D12" s="5">
        <v>3</v>
      </c>
      <c r="E12" s="5">
        <v>2.39</v>
      </c>
      <c r="F12" s="5">
        <v>24.9</v>
      </c>
      <c r="G12" s="1">
        <f t="shared" si="3"/>
        <v>1.6430962343096237E-7</v>
      </c>
      <c r="H12" s="2">
        <f t="shared" si="2"/>
        <v>175.85369506133114</v>
      </c>
      <c r="I12">
        <f t="shared" si="4"/>
        <v>7.17</v>
      </c>
    </row>
    <row r="13" spans="1:9" x14ac:dyDescent="0.2">
      <c r="D13" s="5">
        <v>3.2</v>
      </c>
      <c r="E13" s="5">
        <v>2.52</v>
      </c>
      <c r="F13" s="5">
        <v>24.9</v>
      </c>
      <c r="G13" s="1">
        <f t="shared" si="3"/>
        <v>1.6622222222222225E-7</v>
      </c>
      <c r="H13" s="2">
        <f t="shared" si="2"/>
        <v>180.96213200379873</v>
      </c>
      <c r="I13">
        <f t="shared" si="4"/>
        <v>8.0640000000000001</v>
      </c>
    </row>
    <row r="14" spans="1:9" x14ac:dyDescent="0.2">
      <c r="D14" s="5">
        <v>3.4</v>
      </c>
      <c r="E14" s="5">
        <v>2.65</v>
      </c>
      <c r="F14" s="5">
        <v>24.9</v>
      </c>
      <c r="G14" s="1">
        <f t="shared" si="3"/>
        <v>1.6794716981132079E-7</v>
      </c>
      <c r="H14" s="2">
        <f t="shared" si="2"/>
        <v>185.56936381228843</v>
      </c>
      <c r="I14">
        <f t="shared" si="4"/>
        <v>9.01</v>
      </c>
    </row>
    <row r="15" spans="1:9" x14ac:dyDescent="0.2">
      <c r="D15" s="5">
        <v>3.6</v>
      </c>
      <c r="E15" s="5">
        <v>2.76</v>
      </c>
      <c r="F15" s="5">
        <v>24.9</v>
      </c>
      <c r="G15" s="1">
        <f t="shared" si="3"/>
        <v>1.7073913043478265E-7</v>
      </c>
      <c r="H15" s="2">
        <f t="shared" si="2"/>
        <v>193.02652359717587</v>
      </c>
      <c r="I15">
        <f t="shared" si="4"/>
        <v>9.9359999999999999</v>
      </c>
    </row>
    <row r="16" spans="1:9" x14ac:dyDescent="0.2">
      <c r="D16" s="5">
        <v>3.8</v>
      </c>
      <c r="E16" s="5">
        <v>2.83</v>
      </c>
      <c r="F16" s="5">
        <v>24.9</v>
      </c>
      <c r="G16" s="1">
        <f t="shared" si="3"/>
        <v>1.7576678445229683E-7</v>
      </c>
      <c r="H16" s="2">
        <f t="shared" si="2"/>
        <v>206.45508667814323</v>
      </c>
      <c r="I16">
        <f t="shared" si="4"/>
        <v>10.754</v>
      </c>
    </row>
    <row r="17" spans="4:9" x14ac:dyDescent="0.2">
      <c r="D17" s="5">
        <v>4</v>
      </c>
      <c r="E17" s="5">
        <v>2.96</v>
      </c>
      <c r="F17" s="5">
        <v>24.9</v>
      </c>
      <c r="G17" s="1">
        <f t="shared" si="3"/>
        <v>1.7689189189189191E-7</v>
      </c>
      <c r="H17" s="2">
        <f t="shared" si="2"/>
        <v>209.4601813351814</v>
      </c>
      <c r="I17">
        <f t="shared" si="4"/>
        <v>11.84</v>
      </c>
    </row>
    <row r="18" spans="4:9" x14ac:dyDescent="0.2">
      <c r="D18" s="5">
        <v>4.2</v>
      </c>
      <c r="E18" s="5">
        <v>3.08</v>
      </c>
      <c r="F18" s="5">
        <v>24.9</v>
      </c>
      <c r="G18" s="1">
        <f t="shared" si="3"/>
        <v>1.7850000000000002E-7</v>
      </c>
      <c r="H18" s="2">
        <f>(G18-$B$6)/$B$7</f>
        <v>213.75534188034192</v>
      </c>
      <c r="I18">
        <f t="shared" si="4"/>
        <v>12.936000000000002</v>
      </c>
    </row>
    <row r="19" spans="4:9" x14ac:dyDescent="0.2">
      <c r="D19" s="5">
        <v>4.4000000000000004</v>
      </c>
      <c r="E19" s="5">
        <v>3.19</v>
      </c>
      <c r="F19" s="5">
        <v>24.9</v>
      </c>
      <c r="G19" s="1">
        <f t="shared" si="3"/>
        <v>1.8055172413793108E-7</v>
      </c>
      <c r="H19" s="2">
        <f t="shared" si="2"/>
        <v>219.23537430002958</v>
      </c>
      <c r="I19">
        <f t="shared" si="4"/>
        <v>14.036000000000001</v>
      </c>
    </row>
    <row r="20" spans="4:9" x14ac:dyDescent="0.2">
      <c r="D20" s="5">
        <v>4.5999999999999996</v>
      </c>
      <c r="E20" s="5">
        <v>3.32</v>
      </c>
      <c r="F20" s="5">
        <v>24.9</v>
      </c>
      <c r="G20" s="1">
        <f t="shared" si="3"/>
        <v>1.8136746987951811E-7</v>
      </c>
      <c r="H20" s="2">
        <f t="shared" si="2"/>
        <v>221.41418237050777</v>
      </c>
      <c r="I20">
        <f t="shared" si="4"/>
        <v>15.271999999999998</v>
      </c>
    </row>
    <row r="21" spans="4:9" x14ac:dyDescent="0.2">
      <c r="D21" s="5">
        <v>4.8</v>
      </c>
      <c r="E21" s="5">
        <v>3.39</v>
      </c>
      <c r="F21" s="5">
        <v>24.9</v>
      </c>
      <c r="G21" s="1">
        <f t="shared" si="3"/>
        <v>1.8534513274336284E-7</v>
      </c>
      <c r="H21" s="2">
        <f t="shared" si="2"/>
        <v>232.03828190000758</v>
      </c>
      <c r="I21">
        <f t="shared" si="4"/>
        <v>16.271999999999998</v>
      </c>
    </row>
    <row r="22" spans="4:9" x14ac:dyDescent="0.2">
      <c r="D22" s="5">
        <v>5</v>
      </c>
      <c r="E22" s="5">
        <v>3.47</v>
      </c>
      <c r="F22" s="5">
        <v>25</v>
      </c>
      <c r="G22" s="1">
        <f t="shared" si="3"/>
        <v>1.8861671469740635E-7</v>
      </c>
      <c r="H22" s="2">
        <f t="shared" si="2"/>
        <v>240.77648156358532</v>
      </c>
      <c r="I22">
        <f t="shared" si="4"/>
        <v>17.350000000000001</v>
      </c>
    </row>
    <row r="23" spans="4:9" x14ac:dyDescent="0.2">
      <c r="D23" s="5">
        <v>5.2</v>
      </c>
      <c r="E23" s="5">
        <v>3.58</v>
      </c>
      <c r="F23" s="5">
        <v>25</v>
      </c>
      <c r="G23" s="1">
        <f t="shared" si="3"/>
        <v>1.9013407821229051E-7</v>
      </c>
      <c r="H23" s="2">
        <f t="shared" si="2"/>
        <v>244.82926872940843</v>
      </c>
      <c r="I23">
        <f t="shared" si="4"/>
        <v>18.616</v>
      </c>
    </row>
    <row r="24" spans="4:9" x14ac:dyDescent="0.2">
      <c r="D24" s="5">
        <v>5.4</v>
      </c>
      <c r="E24" s="5">
        <v>3.77</v>
      </c>
      <c r="F24" s="5">
        <v>25</v>
      </c>
      <c r="G24" s="1">
        <f t="shared" si="3"/>
        <v>1.8749602122015919E-7</v>
      </c>
      <c r="H24" s="2">
        <f t="shared" si="2"/>
        <v>237.78317633589526</v>
      </c>
      <c r="I24">
        <f t="shared" si="4"/>
        <v>20.358000000000001</v>
      </c>
    </row>
    <row r="25" spans="4:9" x14ac:dyDescent="0.2">
      <c r="D25" s="5">
        <v>5.6</v>
      </c>
      <c r="E25" s="5">
        <v>3.99</v>
      </c>
      <c r="F25" s="5">
        <v>25</v>
      </c>
      <c r="G25" s="1">
        <f t="shared" si="3"/>
        <v>1.8371929824561404E-7</v>
      </c>
      <c r="H25" s="2">
        <f t="shared" si="2"/>
        <v>227.69577522866999</v>
      </c>
      <c r="I25">
        <f t="shared" si="4"/>
        <v>22.344000000000001</v>
      </c>
    </row>
    <row r="26" spans="4:9" x14ac:dyDescent="0.2">
      <c r="D26" s="5">
        <v>5.8</v>
      </c>
      <c r="E26" s="5">
        <v>4.3600000000000003</v>
      </c>
      <c r="F26" s="5">
        <v>25</v>
      </c>
      <c r="G26" s="1">
        <f t="shared" si="3"/>
        <v>1.7413302752293578E-7</v>
      </c>
      <c r="H26" s="2">
        <f t="shared" si="2"/>
        <v>202.09141966596096</v>
      </c>
      <c r="I26">
        <f t="shared" si="4"/>
        <v>25.288</v>
      </c>
    </row>
    <row r="27" spans="4:9" x14ac:dyDescent="0.2">
      <c r="D27" s="5">
        <v>6</v>
      </c>
      <c r="E27" s="5">
        <v>4.43</v>
      </c>
      <c r="F27" s="5">
        <v>25</v>
      </c>
      <c r="G27" s="1">
        <f t="shared" si="3"/>
        <v>1.772911963882619E-7</v>
      </c>
      <c r="H27" s="2">
        <f t="shared" si="2"/>
        <v>210.52669975497301</v>
      </c>
      <c r="I27">
        <f t="shared" si="4"/>
        <v>26.58</v>
      </c>
    </row>
    <row r="28" spans="4:9" x14ac:dyDescent="0.2">
      <c r="D28" s="5">
        <v>6.2</v>
      </c>
      <c r="E28" s="5">
        <v>4.55</v>
      </c>
      <c r="F28" s="5">
        <v>25.1</v>
      </c>
      <c r="G28" s="1">
        <f t="shared" si="3"/>
        <v>1.7836923076923079E-7</v>
      </c>
      <c r="H28" s="2">
        <f t="shared" si="2"/>
        <v>213.40606508875746</v>
      </c>
      <c r="I28">
        <f t="shared" si="4"/>
        <v>28.21</v>
      </c>
    </row>
    <row r="29" spans="4:9" x14ac:dyDescent="0.2">
      <c r="D29" s="5">
        <v>6.4</v>
      </c>
      <c r="E29" s="5">
        <v>4.76</v>
      </c>
      <c r="F29" s="5">
        <v>25.1</v>
      </c>
      <c r="G29" s="1">
        <f t="shared" si="3"/>
        <v>1.7600000000000004E-7</v>
      </c>
      <c r="H29" s="2">
        <f t="shared" si="2"/>
        <v>207.07799145299157</v>
      </c>
      <c r="I29">
        <f t="shared" si="4"/>
        <v>30.463999999999999</v>
      </c>
    </row>
    <row r="30" spans="4:9" x14ac:dyDescent="0.2">
      <c r="D30" s="5">
        <v>6.6</v>
      </c>
      <c r="E30" s="5">
        <v>4.96</v>
      </c>
      <c r="F30" s="5">
        <v>25.1</v>
      </c>
      <c r="G30" s="1">
        <f t="shared" si="3"/>
        <v>1.7418145161290323E-7</v>
      </c>
      <c r="H30" s="2">
        <f t="shared" si="2"/>
        <v>202.22075751309623</v>
      </c>
      <c r="I30">
        <f t="shared" si="4"/>
        <v>32.735999999999997</v>
      </c>
    </row>
    <row r="31" spans="4:9" x14ac:dyDescent="0.2">
      <c r="D31" s="5">
        <v>6.8</v>
      </c>
      <c r="E31" s="5">
        <v>5.1100000000000003</v>
      </c>
      <c r="F31" s="5">
        <v>25.1</v>
      </c>
      <c r="G31" s="1">
        <f t="shared" si="3"/>
        <v>1.7419178082191781E-7</v>
      </c>
      <c r="H31" s="2">
        <f t="shared" si="2"/>
        <v>202.2483462123873</v>
      </c>
      <c r="I31">
        <f t="shared" si="4"/>
        <v>34.748000000000005</v>
      </c>
    </row>
    <row r="32" spans="4:9" x14ac:dyDescent="0.2">
      <c r="D32" s="5">
        <v>7</v>
      </c>
      <c r="E32" s="5">
        <v>5.26</v>
      </c>
      <c r="F32" s="5">
        <v>25.1</v>
      </c>
      <c r="G32" s="1">
        <f t="shared" si="3"/>
        <v>1.7420152091254755E-7</v>
      </c>
      <c r="H32" s="2">
        <f t="shared" si="2"/>
        <v>202.2743614117189</v>
      </c>
      <c r="I32">
        <f t="shared" si="4"/>
        <v>36.82</v>
      </c>
    </row>
    <row r="33" spans="4:9" x14ac:dyDescent="0.2">
      <c r="D33" s="5">
        <v>7.2</v>
      </c>
      <c r="E33" s="5">
        <v>5.36</v>
      </c>
      <c r="F33" s="5">
        <v>25.1</v>
      </c>
      <c r="G33" s="1">
        <f t="shared" si="3"/>
        <v>1.758358208955224E-7</v>
      </c>
      <c r="H33" s="2">
        <f t="shared" si="2"/>
        <v>206.63947888761325</v>
      </c>
      <c r="I33">
        <f t="shared" si="4"/>
        <v>38.592000000000006</v>
      </c>
    </row>
    <row r="34" spans="4:9" x14ac:dyDescent="0.2">
      <c r="D34" s="5">
        <v>7.4</v>
      </c>
      <c r="E34" s="5">
        <v>5.41</v>
      </c>
      <c r="F34" s="5">
        <v>25.1</v>
      </c>
      <c r="G34" s="1">
        <f t="shared" si="3"/>
        <v>1.7904990757855824E-7</v>
      </c>
      <c r="H34" s="2">
        <f t="shared" si="2"/>
        <v>215.22411212221752</v>
      </c>
      <c r="I34">
        <f t="shared" si="4"/>
        <v>40.034000000000006</v>
      </c>
    </row>
    <row r="35" spans="4:9" x14ac:dyDescent="0.2">
      <c r="D35" s="5">
        <v>7.6</v>
      </c>
      <c r="E35" s="5">
        <v>5.57</v>
      </c>
      <c r="F35" s="5">
        <v>25.1</v>
      </c>
      <c r="G35" s="1">
        <f t="shared" si="3"/>
        <v>1.786068222621185E-7</v>
      </c>
      <c r="H35" s="2">
        <f t="shared" si="2"/>
        <v>214.04065775138488</v>
      </c>
      <c r="I35">
        <f t="shared" si="4"/>
        <v>42.332000000000001</v>
      </c>
    </row>
    <row r="36" spans="4:9" x14ac:dyDescent="0.2">
      <c r="D36" s="5">
        <v>7.8</v>
      </c>
      <c r="E36" s="5">
        <v>5.73</v>
      </c>
      <c r="F36" s="5">
        <v>25.1</v>
      </c>
      <c r="G36" s="1">
        <f t="shared" si="3"/>
        <v>1.7818848167539268E-7</v>
      </c>
      <c r="H36" s="2">
        <f t="shared" si="2"/>
        <v>212.92329507316421</v>
      </c>
      <c r="I36">
        <f t="shared" si="4"/>
        <v>44.694000000000003</v>
      </c>
    </row>
    <row r="37" spans="4:9" x14ac:dyDescent="0.2">
      <c r="D37" s="5">
        <v>8</v>
      </c>
      <c r="E37" s="5">
        <v>5.85</v>
      </c>
      <c r="F37" s="5">
        <v>25.2</v>
      </c>
      <c r="G37" s="1">
        <f t="shared" si="3"/>
        <v>1.7900854700854705E-7</v>
      </c>
      <c r="H37" s="2">
        <f t="shared" si="2"/>
        <v>215.11364051428166</v>
      </c>
      <c r="I37">
        <f t="shared" si="4"/>
        <v>46.8</v>
      </c>
    </row>
    <row r="38" spans="4:9" x14ac:dyDescent="0.2">
      <c r="D38" s="5">
        <v>8.1999999999999993</v>
      </c>
      <c r="E38" s="5">
        <v>5.98</v>
      </c>
      <c r="F38" s="5">
        <v>25.2</v>
      </c>
      <c r="G38" s="1">
        <f t="shared" si="3"/>
        <v>1.7949498327759196E-7</v>
      </c>
      <c r="H38" s="2">
        <f t="shared" si="2"/>
        <v>216.41288268587599</v>
      </c>
      <c r="I38">
        <f t="shared" si="4"/>
        <v>49.036000000000001</v>
      </c>
    </row>
    <row r="39" spans="4:9" x14ac:dyDescent="0.2">
      <c r="D39" s="5">
        <v>8.4</v>
      </c>
      <c r="E39" s="5">
        <v>6.1</v>
      </c>
      <c r="F39" s="5">
        <v>25.2</v>
      </c>
      <c r="G39" s="1">
        <f t="shared" si="3"/>
        <v>1.8025573770491807E-7</v>
      </c>
      <c r="H39" s="2">
        <f t="shared" si="2"/>
        <v>218.44481224604186</v>
      </c>
      <c r="I39">
        <f t="shared" si="4"/>
        <v>51.24</v>
      </c>
    </row>
    <row r="40" spans="4:9" x14ac:dyDescent="0.2">
      <c r="D40" s="5"/>
      <c r="E40" s="5"/>
      <c r="F40" s="5"/>
      <c r="G40" s="1" t="e">
        <f t="shared" si="3"/>
        <v>#DIV/0!</v>
      </c>
      <c r="H40" s="2" t="e">
        <f t="shared" si="2"/>
        <v>#DIV/0!</v>
      </c>
      <c r="I40">
        <f t="shared" si="4"/>
        <v>0</v>
      </c>
    </row>
    <row r="41" spans="4:9" x14ac:dyDescent="0.2">
      <c r="D41" s="5"/>
      <c r="E41" s="5"/>
      <c r="F41" s="5"/>
      <c r="G41" s="1" t="e">
        <f t="shared" si="3"/>
        <v>#DIV/0!</v>
      </c>
      <c r="H41" s="2" t="e">
        <f t="shared" si="2"/>
        <v>#DIV/0!</v>
      </c>
      <c r="I41">
        <f t="shared" si="4"/>
        <v>0</v>
      </c>
    </row>
    <row r="42" spans="4:9" x14ac:dyDescent="0.2">
      <c r="D42" s="5"/>
      <c r="E42" s="5"/>
      <c r="F42" s="5"/>
      <c r="G42" s="1" t="e">
        <f t="shared" si="3"/>
        <v>#DIV/0!</v>
      </c>
      <c r="H42" s="2" t="e">
        <f t="shared" si="2"/>
        <v>#DIV/0!</v>
      </c>
      <c r="I42">
        <f t="shared" si="4"/>
        <v>0</v>
      </c>
    </row>
    <row r="43" spans="4:9" x14ac:dyDescent="0.2">
      <c r="D43" s="5"/>
      <c r="E43" s="5"/>
      <c r="F43" s="5"/>
      <c r="G43" s="1" t="e">
        <f t="shared" si="3"/>
        <v>#DIV/0!</v>
      </c>
      <c r="H43" s="2" t="e">
        <f t="shared" si="2"/>
        <v>#DIV/0!</v>
      </c>
      <c r="I43">
        <f t="shared" si="4"/>
        <v>0</v>
      </c>
    </row>
    <row r="44" spans="4:9" x14ac:dyDescent="0.2">
      <c r="D44" s="5"/>
      <c r="E44" s="5"/>
      <c r="F44" s="5"/>
      <c r="G44" s="1" t="e">
        <f t="shared" si="3"/>
        <v>#DIV/0!</v>
      </c>
      <c r="H44" s="2" t="e">
        <f t="shared" si="2"/>
        <v>#DIV/0!</v>
      </c>
      <c r="I44">
        <f t="shared" si="4"/>
        <v>0</v>
      </c>
    </row>
    <row r="45" spans="4:9" x14ac:dyDescent="0.2">
      <c r="D45" s="5"/>
      <c r="E45" s="5"/>
      <c r="F45" s="5"/>
      <c r="G45" s="1" t="e">
        <f t="shared" si="3"/>
        <v>#DIV/0!</v>
      </c>
      <c r="H45" s="2" t="e">
        <f t="shared" si="2"/>
        <v>#DIV/0!</v>
      </c>
      <c r="I45">
        <f t="shared" si="4"/>
        <v>0</v>
      </c>
    </row>
    <row r="46" spans="4:9" x14ac:dyDescent="0.2">
      <c r="D46" s="5"/>
      <c r="E46" s="5"/>
      <c r="F46" s="5"/>
      <c r="G46" s="1" t="e">
        <f t="shared" si="3"/>
        <v>#DIV/0!</v>
      </c>
      <c r="H46" s="2" t="e">
        <f t="shared" si="2"/>
        <v>#DIV/0!</v>
      </c>
      <c r="I46">
        <f t="shared" si="4"/>
        <v>0</v>
      </c>
    </row>
    <row r="47" spans="4:9" x14ac:dyDescent="0.2">
      <c r="D47" s="5"/>
      <c r="E47" s="5"/>
      <c r="F47" s="5"/>
      <c r="G47" s="1" t="e">
        <f t="shared" si="3"/>
        <v>#DIV/0!</v>
      </c>
      <c r="H47" s="2" t="e">
        <f t="shared" si="2"/>
        <v>#DIV/0!</v>
      </c>
      <c r="I47">
        <f t="shared" si="4"/>
        <v>0</v>
      </c>
    </row>
    <row r="48" spans="4:9" x14ac:dyDescent="0.2">
      <c r="D48" s="5"/>
      <c r="E48" s="5"/>
      <c r="F48" s="5"/>
      <c r="G48" s="1" t="e">
        <f t="shared" si="3"/>
        <v>#DIV/0!</v>
      </c>
      <c r="H48" s="2" t="e">
        <f t="shared" si="2"/>
        <v>#DIV/0!</v>
      </c>
      <c r="I48">
        <f t="shared" si="4"/>
        <v>0</v>
      </c>
    </row>
    <row r="49" spans="4:9" x14ac:dyDescent="0.2">
      <c r="D49" s="5"/>
      <c r="E49" s="5"/>
      <c r="F49" s="5"/>
      <c r="G49" s="1" t="e">
        <f t="shared" ref="G49:G54" si="5">0.7854*$B$4^2/$B$3*D49/E49</f>
        <v>#DIV/0!</v>
      </c>
      <c r="H49" s="2" t="e">
        <f t="shared" ref="H49:H54" si="6">(G49-$B$6)/$B$7</f>
        <v>#DIV/0!</v>
      </c>
      <c r="I49">
        <f t="shared" ref="I49:I54" si="7">D49*E49</f>
        <v>0</v>
      </c>
    </row>
    <row r="50" spans="4:9" x14ac:dyDescent="0.2">
      <c r="D50" s="5"/>
      <c r="E50" s="5"/>
      <c r="F50" s="5"/>
      <c r="G50" s="1" t="e">
        <f t="shared" si="5"/>
        <v>#DIV/0!</v>
      </c>
      <c r="H50" s="2" t="e">
        <f t="shared" si="6"/>
        <v>#DIV/0!</v>
      </c>
      <c r="I50">
        <f t="shared" si="7"/>
        <v>0</v>
      </c>
    </row>
    <row r="51" spans="4:9" x14ac:dyDescent="0.2">
      <c r="D51" s="5"/>
      <c r="E51" s="5"/>
      <c r="F51" s="5"/>
      <c r="G51" s="1" t="e">
        <f t="shared" si="5"/>
        <v>#DIV/0!</v>
      </c>
      <c r="H51" s="2" t="e">
        <f t="shared" si="6"/>
        <v>#DIV/0!</v>
      </c>
      <c r="I51">
        <f t="shared" si="7"/>
        <v>0</v>
      </c>
    </row>
    <row r="52" spans="4:9" x14ac:dyDescent="0.2">
      <c r="D52" s="5"/>
      <c r="E52" s="5"/>
      <c r="F52" s="5"/>
      <c r="G52" s="1" t="e">
        <f t="shared" si="5"/>
        <v>#DIV/0!</v>
      </c>
      <c r="H52" s="2" t="e">
        <f t="shared" si="6"/>
        <v>#DIV/0!</v>
      </c>
      <c r="I52">
        <f t="shared" si="7"/>
        <v>0</v>
      </c>
    </row>
    <row r="53" spans="4:9" x14ac:dyDescent="0.2">
      <c r="D53" s="5"/>
      <c r="E53" s="5"/>
      <c r="F53" s="5"/>
      <c r="G53" s="1" t="e">
        <f t="shared" si="5"/>
        <v>#DIV/0!</v>
      </c>
      <c r="H53" s="2" t="e">
        <f t="shared" si="6"/>
        <v>#DIV/0!</v>
      </c>
      <c r="I53">
        <f t="shared" si="7"/>
        <v>0</v>
      </c>
    </row>
    <row r="54" spans="4:9" x14ac:dyDescent="0.2">
      <c r="D54" s="5"/>
      <c r="E54" s="5"/>
      <c r="F54" s="5"/>
      <c r="G54" s="1" t="e">
        <f t="shared" si="5"/>
        <v>#DIV/0!</v>
      </c>
      <c r="H54" s="2" t="e">
        <f t="shared" si="6"/>
        <v>#DIV/0!</v>
      </c>
      <c r="I54">
        <f t="shared" si="7"/>
        <v>0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G18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26032025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CIONCOLINI</dc:creator>
  <cp:lastModifiedBy>Zhuorui YUN (999021264)</cp:lastModifiedBy>
  <dcterms:created xsi:type="dcterms:W3CDTF">2015-06-05T18:17:20Z</dcterms:created>
  <dcterms:modified xsi:type="dcterms:W3CDTF">2026-05-21T13:49:57Z</dcterms:modified>
</cp:coreProperties>
</file>